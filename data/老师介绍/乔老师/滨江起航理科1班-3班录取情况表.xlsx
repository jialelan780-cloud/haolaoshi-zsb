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<sst xmlns="http://schemas.openxmlformats.org/spreadsheetml/2006/main" count="287" uniqueCount="130">
  <si>
    <t>滨江起航理科1班</t>
  </si>
  <si>
    <t>数学老师：乔老师                                              英语老师：母老师</t>
  </si>
  <si>
    <t>序号</t>
  </si>
  <si>
    <t>姓名</t>
  </si>
  <si>
    <t>数学分数</t>
  </si>
  <si>
    <t>英语分数</t>
  </si>
  <si>
    <t>总分</t>
  </si>
  <si>
    <t>录取学校
（全称）</t>
  </si>
  <si>
    <t>专科院校</t>
  </si>
  <si>
    <t>专科专业</t>
  </si>
  <si>
    <t>蔡佳祺</t>
  </si>
  <si>
    <t>浙江中医药大学</t>
  </si>
  <si>
    <t>浙江机电职业技术学院</t>
  </si>
  <si>
    <t>大数据与会计</t>
  </si>
  <si>
    <t>卢威嘉</t>
  </si>
  <si>
    <t>浙江商业职业技术学院</t>
  </si>
  <si>
    <t>计算机网络技术</t>
  </si>
  <si>
    <t>单文婧</t>
  </si>
  <si>
    <t>电子信息工程技术</t>
  </si>
  <si>
    <t>杨雅丹</t>
  </si>
  <si>
    <t>温州理工学院</t>
  </si>
  <si>
    <t>物联网应用技术</t>
  </si>
  <si>
    <t>徐培毓</t>
  </si>
  <si>
    <t>浙江外国语学院</t>
  </si>
  <si>
    <t>应用电子技术</t>
  </si>
  <si>
    <t>李洋</t>
  </si>
  <si>
    <t>杭州电子科技大学</t>
  </si>
  <si>
    <t>城市轨道交通机电技术</t>
  </si>
  <si>
    <t>薛宇涛</t>
  </si>
  <si>
    <t>台州学院</t>
  </si>
  <si>
    <t>智能制造装备技术</t>
  </si>
  <si>
    <t>张心洁</t>
  </si>
  <si>
    <t>衢州学院</t>
  </si>
  <si>
    <t>西式烹饪工艺烹饪</t>
  </si>
  <si>
    <t>范佳柯</t>
  </si>
  <si>
    <t>汽车技术服务与营销</t>
  </si>
  <si>
    <t>杨明永</t>
  </si>
  <si>
    <t>浙江科技大学</t>
  </si>
  <si>
    <t>工业机器人技术</t>
  </si>
  <si>
    <t>金鑫</t>
  </si>
  <si>
    <t>嘉兴大学</t>
  </si>
  <si>
    <t>计算机应用技术</t>
  </si>
  <si>
    <t>单彦双</t>
  </si>
  <si>
    <t>浙大城市学院</t>
  </si>
  <si>
    <t>财富管理</t>
  </si>
  <si>
    <t>张作鹏</t>
  </si>
  <si>
    <t>湖州学院</t>
  </si>
  <si>
    <t>电气自动化技术</t>
  </si>
  <si>
    <t>周恺承</t>
  </si>
  <si>
    <t>浙江万里学院</t>
  </si>
  <si>
    <t>移动商务</t>
  </si>
  <si>
    <t>张海涛</t>
  </si>
  <si>
    <t>宁波工程学院</t>
  </si>
  <si>
    <t>柯善宇</t>
  </si>
  <si>
    <t>浙江水利水电学院</t>
  </si>
  <si>
    <t>机械制造及自动化</t>
  </si>
  <si>
    <t>陈秋越</t>
  </si>
  <si>
    <t>数控技术</t>
  </si>
  <si>
    <t>江铃杰</t>
  </si>
  <si>
    <t>材料成型及控制技术</t>
  </si>
  <si>
    <t>潘舒雯</t>
  </si>
  <si>
    <t>机电一体化技术</t>
  </si>
  <si>
    <t>徐奇林</t>
  </si>
  <si>
    <t>林初锦</t>
  </si>
  <si>
    <t>谢作斌</t>
  </si>
  <si>
    <t>徐安琪</t>
  </si>
  <si>
    <t>葛金</t>
  </si>
  <si>
    <t>浙江工业大学之江学院</t>
  </si>
  <si>
    <t>金融服务与管理</t>
  </si>
  <si>
    <t>张佳慧</t>
  </si>
  <si>
    <t>浙江越秀外国语学院</t>
  </si>
  <si>
    <t>商务数据分析与应用</t>
  </si>
  <si>
    <t>韦鑫杰</t>
  </si>
  <si>
    <t>蔡涵</t>
  </si>
  <si>
    <t>浙江财经大学东方学院</t>
  </si>
  <si>
    <t>电子商务</t>
  </si>
  <si>
    <t>洪成钢</t>
  </si>
  <si>
    <t>未告知</t>
  </si>
  <si>
    <t>市场营销</t>
  </si>
  <si>
    <t>包怡君</t>
  </si>
  <si>
    <t>公办上岸率</t>
  </si>
  <si>
    <t>上岸率</t>
  </si>
  <si>
    <t>上线率</t>
  </si>
  <si>
    <t>滨江起航理科3班</t>
  </si>
  <si>
    <t>秦博宇</t>
  </si>
  <si>
    <t>理科</t>
  </si>
  <si>
    <t>中国计量大学</t>
  </si>
  <si>
    <t>跨境电子商务</t>
  </si>
  <si>
    <t>郑翔如</t>
  </si>
  <si>
    <t>王晶</t>
  </si>
  <si>
    <t>温州大学</t>
  </si>
  <si>
    <t>导游</t>
  </si>
  <si>
    <t>冯紫玉</t>
  </si>
  <si>
    <t>郭嘉成</t>
  </si>
  <si>
    <t>湖州师范学院</t>
  </si>
  <si>
    <t>国际经济与贸易</t>
  </si>
  <si>
    <t>赵佳祺</t>
  </si>
  <si>
    <t>吴锦芸</t>
  </si>
  <si>
    <t>材料成型及控制技</t>
  </si>
  <si>
    <t>费佳燕</t>
  </si>
  <si>
    <t>马梓航</t>
  </si>
  <si>
    <t>丁瑛余</t>
  </si>
  <si>
    <t>王兆杰</t>
  </si>
  <si>
    <t>徐甜欣</t>
  </si>
  <si>
    <t>胡雪琴</t>
  </si>
  <si>
    <t>莫棋</t>
  </si>
  <si>
    <t>蒋依琳</t>
  </si>
  <si>
    <t>张娇</t>
  </si>
  <si>
    <t>陈佳奇</t>
  </si>
  <si>
    <t>现代物流管理</t>
  </si>
  <si>
    <t>王浩然</t>
  </si>
  <si>
    <t>王静</t>
  </si>
  <si>
    <t>嘉兴南湖学院</t>
  </si>
  <si>
    <t>张美萍</t>
  </si>
  <si>
    <t>理化测试与质检技术</t>
  </si>
  <si>
    <t>徐飒楠</t>
  </si>
  <si>
    <t>赵丹丹</t>
  </si>
  <si>
    <t>理工类</t>
  </si>
  <si>
    <t>汽车智能技术</t>
  </si>
  <si>
    <t>刘梦瑶</t>
  </si>
  <si>
    <t>庞程达</t>
  </si>
  <si>
    <t>李欣雨</t>
  </si>
  <si>
    <t>模具设计与制造</t>
  </si>
  <si>
    <t>陆婷</t>
  </si>
  <si>
    <t>管雨婷</t>
  </si>
  <si>
    <t>张沪峰</t>
  </si>
  <si>
    <t>同济大学浙江学院</t>
  </si>
  <si>
    <t>张帅</t>
  </si>
  <si>
    <t>温州医科大学仁济学院</t>
  </si>
  <si>
    <t>工艺与营养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</si>
</sst>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b/>
      <sz val="16"/>
      <name val="宋体"/>
      <charset val="134"/>
    </font>
    <font>
      <b/>
      <sz val="14"/>
      <name val="宋体"/>
      <charset val="134"/>
    </font>
    <font>
      <b/>
      <sz val="14"/>
      <name val="SimSun"/>
      <charset val="134"/>
    </font>
    <font>
      <b/>
      <sz val="16"/>
      <color rgb="FFFF0000"/>
      <name val="宋体"/>
      <charset val="134"/>
    </font>
    <font>
      <b/>
      <sz val="14"/>
      <color rgb="FFFF0000"/>
      <name val="宋体"/>
      <charset val="134"/>
    </font>
    <font>
      <b/>
      <sz val="20"/>
      <name val="宋体"/>
      <charset val="134"/>
    </font>
    <font>
      <b/>
      <sz val="16"/>
      <name val="SimSun"/>
      <charset val="134"/>
    </font>
    <font>
      <sz val="22"/>
      <color theme="1"/>
      <name val="宋体"/>
      <charset val="134"/>
      <scheme val="minor"/>
    </font>
    <font>
      <b/>
      <sz val="16"/>
      <color theme="1"/>
      <name val="宋体"/>
      <charset val="134"/>
    </font>
    <font>
      <sz val="16"/>
      <color theme="1"/>
      <name val="宋体"/>
      <charset val="134"/>
    </font>
    <font>
      <b/>
      <sz val="18"/>
      <name val="宋体"/>
      <charset val="134"/>
    </font>
    <font>
      <b/>
      <sz val="18"/>
      <name val="SimSun"/>
      <charset val="134"/>
    </font>
    <font>
      <b/>
      <sz val="20"/>
      <color theme="1"/>
      <name val="宋体"/>
      <charset val="134"/>
    </font>
    <font>
      <b/>
      <sz val="18"/>
      <color theme="1"/>
      <name val="宋体"/>
      <charset val="134"/>
    </font>
    <font>
      <b/>
      <sz val="18"/>
      <color theme="1"/>
      <name val="SimSun"/>
      <charset val="134"/>
    </font>
    <font>
      <b/>
      <sz val="22"/>
      <name val="宋体"/>
      <charset val="134"/>
    </font>
    <font>
      <b/>
      <sz val="2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12" borderId="10" applyNumberFormat="0" applyAlignment="0" applyProtection="0">
      <alignment vertical="center"/>
    </xf>
    <xf numFmtId="0" fontId="31" fillId="12" borderId="9" applyNumberFormat="0" applyAlignment="0" applyProtection="0">
      <alignment vertical="center"/>
    </xf>
    <xf numFmtId="0" fontId="32" fillId="13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9" fillId="4" borderId="5" xfId="0" applyFont="1" applyFill="1" applyBorder="1" applyAlignment="1">
      <alignment horizontal="center" vertical="center" wrapText="1"/>
    </xf>
    <xf numFmtId="9" fontId="9" fillId="4" borderId="5" xfId="3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/>
    </xf>
    <xf numFmtId="9" fontId="9" fillId="8" borderId="5" xfId="3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9" fontId="10" fillId="7" borderId="5" xfId="3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 wrapText="1"/>
    </xf>
    <xf numFmtId="9" fontId="19" fillId="4" borderId="5" xfId="3" applyFont="1" applyFill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/>
    </xf>
    <xf numFmtId="9" fontId="19" fillId="8" borderId="5" xfId="3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9" fontId="20" fillId="7" borderId="5" xfId="3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opLeftCell="A9" workbookViewId="0">
      <selection activeCell="A1" sqref="$A1:$XFD1048576"/>
    </sheetView>
  </sheetViews>
  <sheetFormatPr defaultColWidth="24.375" defaultRowHeight="33" customHeight="1"/>
  <cols>
    <col min="1" max="3" width="24.375" style="1" customWidth="1"/>
    <col min="4" max="4" width="31.125" style="1" customWidth="1"/>
    <col min="5" max="5" width="30.625" style="1" customWidth="1"/>
    <col min="6" max="6" width="41.375" style="1" customWidth="1"/>
    <col min="7" max="7" width="36.625" style="1" customWidth="1"/>
    <col min="8" max="8" width="41.75" style="1" customWidth="1"/>
    <col min="9" max="26" width="24.375" style="1" customWidth="1"/>
    <col min="27" max="16384" width="24.375" style="1"/>
  </cols>
  <sheetData>
    <row r="1" s="1" customFormat="1" ht="55" customHeight="1" spans="1:10">
      <c r="A1" s="33" t="s">
        <v>0</v>
      </c>
      <c r="B1" s="34"/>
      <c r="C1" s="34"/>
      <c r="D1" s="34"/>
      <c r="E1" s="34"/>
      <c r="F1" s="34"/>
      <c r="G1" s="34"/>
      <c r="H1" s="35"/>
    </row>
    <row r="2" s="1" customFormat="1" ht="55" customHeight="1" spans="1:10">
      <c r="A2" s="33" t="s">
        <v>1</v>
      </c>
      <c r="B2" s="36"/>
      <c r="C2" s="36"/>
      <c r="D2" s="36"/>
      <c r="E2" s="36"/>
      <c r="F2" s="36"/>
      <c r="G2" s="36"/>
      <c r="H2" s="37"/>
    </row>
    <row r="3" s="1" customFormat="1" ht="55" customHeight="1" spans="1:10">
      <c r="A3" s="38" t="s">
        <v>2</v>
      </c>
      <c r="B3" s="39" t="s">
        <v>3</v>
      </c>
      <c r="C3" s="38" t="s">
        <v>4</v>
      </c>
      <c r="D3" s="38" t="s">
        <v>5</v>
      </c>
      <c r="E3" s="38" t="s">
        <v>6</v>
      </c>
      <c r="F3" s="39" t="s">
        <v>7</v>
      </c>
      <c r="G3" s="39" t="s">
        <v>8</v>
      </c>
      <c r="H3" s="38" t="s">
        <v>9</v>
      </c>
    </row>
    <row r="4" s="1" customFormat="1" ht="55" customHeight="1" spans="1:10">
      <c r="A4" s="40">
        <v>1</v>
      </c>
      <c r="B4" s="40" t="s">
        <v>10</v>
      </c>
      <c r="C4" s="40">
        <f t="shared" ref="C4:C32" si="0">E4-D4</f>
        <v>136</v>
      </c>
      <c r="D4" s="40">
        <v>124</v>
      </c>
      <c r="E4" s="40">
        <v>260</v>
      </c>
      <c r="F4" s="41" t="s">
        <v>11</v>
      </c>
      <c r="G4" s="42" t="s">
        <v>12</v>
      </c>
      <c r="H4" s="43" t="s">
        <v>13</v>
      </c>
    </row>
    <row r="5" s="1" customFormat="1" ht="55" customHeight="1" spans="1:10">
      <c r="A5" s="40">
        <v>2</v>
      </c>
      <c r="B5" s="40" t="s">
        <v>14</v>
      </c>
      <c r="C5" s="40">
        <f t="shared" si="0"/>
        <v>134</v>
      </c>
      <c r="D5" s="40">
        <v>125</v>
      </c>
      <c r="E5" s="40">
        <v>259</v>
      </c>
      <c r="F5" s="41" t="s">
        <v>11</v>
      </c>
      <c r="G5" s="44" t="s">
        <v>15</v>
      </c>
      <c r="H5" s="43" t="s">
        <v>16</v>
      </c>
    </row>
    <row r="6" s="1" customFormat="1" ht="55" customHeight="1" spans="1:10">
      <c r="A6" s="40">
        <v>3</v>
      </c>
      <c r="B6" s="40" t="s">
        <v>17</v>
      </c>
      <c r="C6" s="40">
        <f t="shared" si="0"/>
        <v>133</v>
      </c>
      <c r="D6" s="40">
        <v>124</v>
      </c>
      <c r="E6" s="40">
        <v>257</v>
      </c>
      <c r="F6" s="41" t="s">
        <v>11</v>
      </c>
      <c r="G6" s="44" t="s">
        <v>15</v>
      </c>
      <c r="H6" s="43" t="s">
        <v>18</v>
      </c>
    </row>
    <row r="7" s="1" customFormat="1" ht="55" customHeight="1" spans="1:10">
      <c r="A7" s="40">
        <v>4</v>
      </c>
      <c r="B7" s="40" t="s">
        <v>19</v>
      </c>
      <c r="C7" s="40">
        <f t="shared" si="0"/>
        <v>131</v>
      </c>
      <c r="D7" s="40">
        <v>120</v>
      </c>
      <c r="E7" s="40">
        <v>251</v>
      </c>
      <c r="F7" s="41" t="s">
        <v>20</v>
      </c>
      <c r="G7" s="42" t="s">
        <v>12</v>
      </c>
      <c r="H7" s="43" t="s">
        <v>21</v>
      </c>
    </row>
    <row r="8" s="1" customFormat="1" ht="55" customHeight="1" spans="1:10">
      <c r="A8" s="40">
        <v>6</v>
      </c>
      <c r="B8" s="40" t="s">
        <v>22</v>
      </c>
      <c r="C8" s="40">
        <f t="shared" si="0"/>
        <v>134</v>
      </c>
      <c r="D8" s="40">
        <v>112</v>
      </c>
      <c r="E8" s="40">
        <v>246</v>
      </c>
      <c r="F8" s="41" t="s">
        <v>23</v>
      </c>
      <c r="G8" s="44" t="s">
        <v>15</v>
      </c>
      <c r="H8" s="43" t="s">
        <v>24</v>
      </c>
    </row>
    <row r="9" s="1" customFormat="1" ht="55" customHeight="1" spans="1:10">
      <c r="A9" s="40">
        <v>5</v>
      </c>
      <c r="B9" s="40" t="s">
        <v>25</v>
      </c>
      <c r="C9" s="40">
        <f t="shared" si="0"/>
        <v>122</v>
      </c>
      <c r="D9" s="40">
        <v>121</v>
      </c>
      <c r="E9" s="40">
        <v>243</v>
      </c>
      <c r="F9" s="41" t="s">
        <v>26</v>
      </c>
      <c r="G9" s="42" t="s">
        <v>12</v>
      </c>
      <c r="H9" s="43" t="s">
        <v>27</v>
      </c>
    </row>
    <row r="10" s="1" customFormat="1" ht="55" customHeight="1" spans="1:10">
      <c r="A10" s="26">
        <v>8</v>
      </c>
      <c r="B10" s="26" t="s">
        <v>28</v>
      </c>
      <c r="C10" s="26">
        <f t="shared" si="0"/>
        <v>136</v>
      </c>
      <c r="D10" s="26">
        <v>107</v>
      </c>
      <c r="E10" s="26">
        <v>243</v>
      </c>
      <c r="F10" s="45" t="s">
        <v>29</v>
      </c>
      <c r="G10" s="42" t="s">
        <v>12</v>
      </c>
      <c r="H10" s="43" t="s">
        <v>30</v>
      </c>
    </row>
    <row r="11" s="1" customFormat="1" ht="55" customHeight="1" spans="1:10">
      <c r="A11" s="40">
        <v>9</v>
      </c>
      <c r="B11" s="40" t="s">
        <v>31</v>
      </c>
      <c r="C11" s="40">
        <f t="shared" si="0"/>
        <v>126</v>
      </c>
      <c r="D11" s="40">
        <v>116</v>
      </c>
      <c r="E11" s="26">
        <v>242</v>
      </c>
      <c r="F11" s="41" t="s">
        <v>32</v>
      </c>
      <c r="G11" s="44" t="s">
        <v>15</v>
      </c>
      <c r="H11" s="43" t="s">
        <v>33</v>
      </c>
    </row>
    <row r="12" s="1" customFormat="1" ht="55" customHeight="1" spans="1:10">
      <c r="A12" s="40">
        <v>10</v>
      </c>
      <c r="B12" s="40" t="s">
        <v>34</v>
      </c>
      <c r="C12" s="40">
        <f t="shared" si="0"/>
        <v>130</v>
      </c>
      <c r="D12" s="40">
        <v>112</v>
      </c>
      <c r="E12" s="26">
        <v>242</v>
      </c>
      <c r="F12" s="41" t="s">
        <v>20</v>
      </c>
      <c r="G12" s="42" t="s">
        <v>12</v>
      </c>
      <c r="H12" s="43" t="s">
        <v>35</v>
      </c>
    </row>
    <row r="13" s="1" customFormat="1" ht="55" customHeight="1" spans="1:10">
      <c r="A13" s="40">
        <v>11</v>
      </c>
      <c r="B13" s="40" t="s">
        <v>36</v>
      </c>
      <c r="C13" s="40">
        <f t="shared" si="0"/>
        <v>122</v>
      </c>
      <c r="D13" s="40">
        <v>119</v>
      </c>
      <c r="E13" s="26">
        <v>241</v>
      </c>
      <c r="F13" s="41" t="s">
        <v>37</v>
      </c>
      <c r="G13" s="44" t="s">
        <v>15</v>
      </c>
      <c r="H13" s="43" t="s">
        <v>38</v>
      </c>
      <c r="J13" s="1">
        <v>10</v>
      </c>
    </row>
    <row r="14" s="1" customFormat="1" ht="55" customHeight="1" spans="1:10">
      <c r="A14" s="26">
        <v>7</v>
      </c>
      <c r="B14" s="26" t="s">
        <v>39</v>
      </c>
      <c r="C14" s="26">
        <f t="shared" si="0"/>
        <v>119</v>
      </c>
      <c r="D14" s="26">
        <v>121</v>
      </c>
      <c r="E14" s="26">
        <v>240</v>
      </c>
      <c r="F14" s="45" t="s">
        <v>40</v>
      </c>
      <c r="G14" s="42" t="s">
        <v>12</v>
      </c>
      <c r="H14" s="43" t="s">
        <v>41</v>
      </c>
    </row>
    <row r="15" s="1" customFormat="1" ht="55" customHeight="1" spans="1:10">
      <c r="A15" s="40">
        <v>12</v>
      </c>
      <c r="B15" s="40" t="s">
        <v>42</v>
      </c>
      <c r="C15" s="40">
        <f t="shared" si="0"/>
        <v>119</v>
      </c>
      <c r="D15" s="40">
        <v>121</v>
      </c>
      <c r="E15" s="26">
        <v>240</v>
      </c>
      <c r="F15" s="41" t="s">
        <v>43</v>
      </c>
      <c r="G15" s="44" t="s">
        <v>15</v>
      </c>
      <c r="H15" s="43" t="s">
        <v>44</v>
      </c>
    </row>
    <row r="16" s="1" customFormat="1" ht="55" customHeight="1" spans="1:10">
      <c r="A16" s="40">
        <v>23</v>
      </c>
      <c r="B16" s="40" t="s">
        <v>45</v>
      </c>
      <c r="C16" s="40">
        <f t="shared" si="0"/>
        <v>126</v>
      </c>
      <c r="D16" s="40">
        <v>114</v>
      </c>
      <c r="E16" s="26">
        <v>240</v>
      </c>
      <c r="F16" s="41" t="s">
        <v>46</v>
      </c>
      <c r="G16" s="42" t="s">
        <v>12</v>
      </c>
      <c r="H16" s="43" t="s">
        <v>47</v>
      </c>
    </row>
    <row r="17" s="1" customFormat="1" ht="55" customHeight="1" spans="1:8">
      <c r="A17" s="26">
        <v>13</v>
      </c>
      <c r="B17" s="26" t="s">
        <v>48</v>
      </c>
      <c r="C17" s="26">
        <f t="shared" si="0"/>
        <v>127</v>
      </c>
      <c r="D17" s="26">
        <v>112</v>
      </c>
      <c r="E17" s="26">
        <v>239</v>
      </c>
      <c r="F17" s="45" t="s">
        <v>49</v>
      </c>
      <c r="G17" s="44" t="s">
        <v>15</v>
      </c>
      <c r="H17" s="43" t="s">
        <v>50</v>
      </c>
    </row>
    <row r="18" s="1" customFormat="1" ht="55" customHeight="1" spans="1:8">
      <c r="A18" s="40">
        <v>14</v>
      </c>
      <c r="B18" s="40" t="s">
        <v>51</v>
      </c>
      <c r="C18" s="40">
        <f t="shared" si="0"/>
        <v>126</v>
      </c>
      <c r="D18" s="40">
        <v>112</v>
      </c>
      <c r="E18" s="26">
        <v>238</v>
      </c>
      <c r="F18" s="41" t="s">
        <v>52</v>
      </c>
      <c r="G18" s="42" t="s">
        <v>12</v>
      </c>
      <c r="H18" s="43" t="s">
        <v>35</v>
      </c>
    </row>
    <row r="19" s="1" customFormat="1" ht="55" customHeight="1" spans="1:8">
      <c r="A19" s="40">
        <v>15</v>
      </c>
      <c r="B19" s="40" t="s">
        <v>53</v>
      </c>
      <c r="C19" s="40">
        <f t="shared" si="0"/>
        <v>127</v>
      </c>
      <c r="D19" s="40">
        <v>110</v>
      </c>
      <c r="E19" s="26">
        <v>237</v>
      </c>
      <c r="F19" s="41" t="s">
        <v>54</v>
      </c>
      <c r="G19" s="42" t="s">
        <v>12</v>
      </c>
      <c r="H19" s="43" t="s">
        <v>55</v>
      </c>
    </row>
    <row r="20" s="1" customFormat="1" ht="55" customHeight="1" spans="1:8">
      <c r="A20" s="40">
        <v>16</v>
      </c>
      <c r="B20" s="40" t="s">
        <v>56</v>
      </c>
      <c r="C20" s="40">
        <f t="shared" si="0"/>
        <v>123</v>
      </c>
      <c r="D20" s="40">
        <v>114</v>
      </c>
      <c r="E20" s="26">
        <v>237</v>
      </c>
      <c r="F20" s="41" t="s">
        <v>46</v>
      </c>
      <c r="G20" s="42" t="s">
        <v>12</v>
      </c>
      <c r="H20" s="43" t="s">
        <v>57</v>
      </c>
    </row>
    <row r="21" s="1" customFormat="1" ht="55" customHeight="1" spans="1:8">
      <c r="A21" s="40">
        <v>17</v>
      </c>
      <c r="B21" s="40" t="s">
        <v>58</v>
      </c>
      <c r="C21" s="40">
        <f t="shared" si="0"/>
        <v>122</v>
      </c>
      <c r="D21" s="40">
        <v>114</v>
      </c>
      <c r="E21" s="26">
        <v>236</v>
      </c>
      <c r="F21" s="41" t="s">
        <v>46</v>
      </c>
      <c r="G21" s="42" t="s">
        <v>12</v>
      </c>
      <c r="H21" s="43" t="s">
        <v>59</v>
      </c>
    </row>
    <row r="22" s="1" customFormat="1" ht="55" customHeight="1" spans="1:8">
      <c r="A22" s="40">
        <v>18</v>
      </c>
      <c r="B22" s="40" t="s">
        <v>60</v>
      </c>
      <c r="C22" s="40">
        <f t="shared" si="0"/>
        <v>115</v>
      </c>
      <c r="D22" s="40">
        <v>121</v>
      </c>
      <c r="E22" s="26">
        <v>236</v>
      </c>
      <c r="F22" s="41" t="s">
        <v>46</v>
      </c>
      <c r="G22" s="42" t="s">
        <v>12</v>
      </c>
      <c r="H22" s="43" t="s">
        <v>61</v>
      </c>
    </row>
    <row r="23" s="1" customFormat="1" ht="55" customHeight="1" spans="1:8">
      <c r="A23" s="40">
        <v>25</v>
      </c>
      <c r="B23" s="40" t="s">
        <v>62</v>
      </c>
      <c r="C23" s="40">
        <f t="shared" si="0"/>
        <v>114</v>
      </c>
      <c r="D23" s="40">
        <v>120</v>
      </c>
      <c r="E23" s="26">
        <v>234</v>
      </c>
      <c r="F23" s="41" t="s">
        <v>20</v>
      </c>
      <c r="G23" s="44" t="s">
        <v>15</v>
      </c>
      <c r="H23" s="43" t="s">
        <v>24</v>
      </c>
    </row>
    <row r="24" s="1" customFormat="1" ht="55" customHeight="1" spans="1:8">
      <c r="A24" s="40">
        <v>19</v>
      </c>
      <c r="B24" s="40" t="s">
        <v>63</v>
      </c>
      <c r="C24" s="40">
        <f t="shared" si="0"/>
        <v>117</v>
      </c>
      <c r="D24" s="40">
        <v>116</v>
      </c>
      <c r="E24" s="26">
        <v>233</v>
      </c>
      <c r="F24" s="41" t="s">
        <v>40</v>
      </c>
      <c r="G24" s="42" t="s">
        <v>12</v>
      </c>
      <c r="H24" s="43" t="s">
        <v>38</v>
      </c>
    </row>
    <row r="25" s="1" customFormat="1" ht="55" customHeight="1" spans="1:8">
      <c r="A25" s="40">
        <v>24</v>
      </c>
      <c r="B25" s="40" t="s">
        <v>64</v>
      </c>
      <c r="C25" s="40">
        <f t="shared" si="0"/>
        <v>119</v>
      </c>
      <c r="D25" s="40">
        <v>113</v>
      </c>
      <c r="E25" s="26">
        <v>232</v>
      </c>
      <c r="F25" s="41" t="s">
        <v>20</v>
      </c>
      <c r="G25" s="44" t="s">
        <v>15</v>
      </c>
      <c r="H25" s="43" t="s">
        <v>18</v>
      </c>
    </row>
    <row r="26" s="1" customFormat="1" ht="55" customHeight="1" spans="1:8">
      <c r="A26" s="40">
        <v>26</v>
      </c>
      <c r="B26" s="40" t="s">
        <v>65</v>
      </c>
      <c r="C26" s="40">
        <f t="shared" si="0"/>
        <v>139</v>
      </c>
      <c r="D26" s="40">
        <v>93</v>
      </c>
      <c r="E26" s="26">
        <v>232</v>
      </c>
      <c r="F26" s="41" t="s">
        <v>37</v>
      </c>
      <c r="G26" s="42" t="s">
        <v>12</v>
      </c>
      <c r="H26" s="43" t="s">
        <v>21</v>
      </c>
    </row>
    <row r="27" s="1" customFormat="1" ht="55" customHeight="1" spans="1:8">
      <c r="A27" s="28">
        <v>20</v>
      </c>
      <c r="B27" s="28" t="s">
        <v>66</v>
      </c>
      <c r="C27" s="28">
        <f t="shared" si="0"/>
        <v>111</v>
      </c>
      <c r="D27" s="28">
        <v>120</v>
      </c>
      <c r="E27" s="46">
        <v>231</v>
      </c>
      <c r="F27" s="46" t="s">
        <v>67</v>
      </c>
      <c r="G27" s="44" t="s">
        <v>15</v>
      </c>
      <c r="H27" s="43" t="s">
        <v>68</v>
      </c>
    </row>
    <row r="28" s="1" customFormat="1" ht="55" customHeight="1" spans="1:8">
      <c r="A28" s="28">
        <v>21</v>
      </c>
      <c r="B28" s="28" t="s">
        <v>69</v>
      </c>
      <c r="C28" s="28">
        <f t="shared" si="0"/>
        <v>127</v>
      </c>
      <c r="D28" s="28">
        <v>102</v>
      </c>
      <c r="E28" s="46">
        <v>229</v>
      </c>
      <c r="F28" s="46" t="s">
        <v>70</v>
      </c>
      <c r="G28" s="44" t="s">
        <v>15</v>
      </c>
      <c r="H28" s="43" t="s">
        <v>71</v>
      </c>
    </row>
    <row r="29" s="1" customFormat="1" ht="55" customHeight="1" spans="1:8">
      <c r="A29" s="40">
        <v>22</v>
      </c>
      <c r="B29" s="40" t="s">
        <v>72</v>
      </c>
      <c r="C29" s="40">
        <f t="shared" si="0"/>
        <v>109</v>
      </c>
      <c r="D29" s="40">
        <v>119</v>
      </c>
      <c r="E29" s="26">
        <v>228</v>
      </c>
      <c r="F29" s="41" t="s">
        <v>54</v>
      </c>
      <c r="G29" s="44" t="s">
        <v>15</v>
      </c>
      <c r="H29" s="43" t="s">
        <v>33</v>
      </c>
    </row>
    <row r="30" s="1" customFormat="1" ht="55" customHeight="1" spans="1:8">
      <c r="A30" s="28">
        <v>27</v>
      </c>
      <c r="B30" s="28" t="s">
        <v>73</v>
      </c>
      <c r="C30" s="28">
        <f t="shared" si="0"/>
        <v>112</v>
      </c>
      <c r="D30" s="28">
        <v>106</v>
      </c>
      <c r="E30" s="28">
        <v>218</v>
      </c>
      <c r="F30" s="46" t="s">
        <v>74</v>
      </c>
      <c r="G30" s="42" t="s">
        <v>12</v>
      </c>
      <c r="H30" s="43" t="s">
        <v>75</v>
      </c>
    </row>
    <row r="31" s="1" customFormat="1" ht="39" customHeight="1" spans="1:8">
      <c r="A31" s="47">
        <v>28</v>
      </c>
      <c r="B31" s="47" t="s">
        <v>76</v>
      </c>
      <c r="C31" s="47">
        <f t="shared" si="0"/>
        <v>103</v>
      </c>
      <c r="D31" s="47">
        <v>95</v>
      </c>
      <c r="E31" s="48">
        <v>198</v>
      </c>
      <c r="F31" s="49" t="s">
        <v>77</v>
      </c>
      <c r="G31" s="50" t="s">
        <v>15</v>
      </c>
      <c r="H31" s="51" t="s">
        <v>78</v>
      </c>
    </row>
    <row r="32" s="1" customFormat="1" ht="39" customHeight="1" spans="1:8">
      <c r="A32" s="47">
        <v>29</v>
      </c>
      <c r="B32" s="47" t="s">
        <v>79</v>
      </c>
      <c r="C32" s="47">
        <f t="shared" si="0"/>
        <v>98</v>
      </c>
      <c r="D32" s="47">
        <v>92</v>
      </c>
      <c r="E32" s="48">
        <v>190</v>
      </c>
      <c r="F32" s="49" t="s">
        <v>77</v>
      </c>
      <c r="G32" s="50" t="s">
        <v>15</v>
      </c>
      <c r="H32" s="51" t="s">
        <v>21</v>
      </c>
    </row>
    <row r="35" s="32" customFormat="1" ht="61" customHeight="1" spans="2:7">
      <c r="B35" s="52" t="s">
        <v>80</v>
      </c>
      <c r="C35" s="53">
        <f>24/29</f>
        <v>0.827586206896552</v>
      </c>
      <c r="D35" s="54" t="s">
        <v>81</v>
      </c>
      <c r="E35" s="55">
        <f>27/29</f>
        <v>0.931034482758621</v>
      </c>
      <c r="F35" s="56" t="s">
        <v>82</v>
      </c>
      <c r="G35" s="57">
        <f>29/29</f>
        <v>1</v>
      </c>
    </row>
  </sheetData>
  <mergeCells count="2">
    <mergeCell ref="A1:H1"/>
    <mergeCell ref="A2:H2"/>
  </mergeCells>
  <conditionalFormatting sqref="B3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workbookViewId="0">
      <selection activeCell="A1" sqref="$A1:$XFD1048576"/>
    </sheetView>
  </sheetViews>
  <sheetFormatPr defaultColWidth="25.125" defaultRowHeight="26" customHeight="1"/>
  <cols>
    <col min="1" max="3" width="25.125" style="3" customWidth="1"/>
    <col min="4" max="4" width="25.125" style="4" customWidth="1"/>
    <col min="5" max="5" width="25.125" style="3" customWidth="1"/>
    <col min="6" max="6" width="28.625" style="3" customWidth="1"/>
    <col min="7" max="7" width="33.125" style="3" customWidth="1"/>
    <col min="8" max="26" width="25.125" style="3" customWidth="1"/>
    <col min="27" max="16384" width="25.125" style="1"/>
  </cols>
  <sheetData>
    <row r="1" s="1" customFormat="1" ht="39" customHeight="1" spans="1:26">
      <c r="A1" s="5" t="s">
        <v>83</v>
      </c>
      <c r="B1" s="6"/>
      <c r="C1" s="6"/>
      <c r="D1" s="6"/>
      <c r="E1" s="6"/>
      <c r="F1" s="6"/>
      <c r="G1" s="6"/>
      <c r="H1" s="7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="1" customFormat="1" ht="39" customHeight="1" spans="1:26">
      <c r="A2" s="5" t="s">
        <v>1</v>
      </c>
      <c r="B2" s="8"/>
      <c r="C2" s="8"/>
      <c r="D2" s="8"/>
      <c r="E2" s="8"/>
      <c r="F2" s="8"/>
      <c r="G2" s="8"/>
      <c r="H2" s="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1" ht="39" customHeight="1" spans="1:26">
      <c r="A3" s="10" t="s">
        <v>2</v>
      </c>
      <c r="B3" s="11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10" t="s">
        <v>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1" ht="42" customHeight="1" spans="1:26">
      <c r="A4" s="12" t="s">
        <v>84</v>
      </c>
      <c r="B4" s="12" t="s">
        <v>85</v>
      </c>
      <c r="C4" s="12">
        <f t="shared" ref="C4:C8" si="0">E4-D4</f>
        <v>140</v>
      </c>
      <c r="D4" s="12">
        <v>120</v>
      </c>
      <c r="E4" s="12">
        <v>260</v>
      </c>
      <c r="F4" s="13" t="s">
        <v>86</v>
      </c>
      <c r="G4" s="14" t="s">
        <v>12</v>
      </c>
      <c r="H4" s="15" t="s">
        <v>87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="1" customFormat="1" ht="42" customHeight="1" spans="1:26">
      <c r="A5" s="12" t="s">
        <v>88</v>
      </c>
      <c r="B5" s="12" t="s">
        <v>85</v>
      </c>
      <c r="C5" s="12">
        <f t="shared" si="0"/>
        <v>130</v>
      </c>
      <c r="D5" s="12">
        <v>125</v>
      </c>
      <c r="E5" s="12">
        <v>255</v>
      </c>
      <c r="F5" s="13" t="s">
        <v>86</v>
      </c>
      <c r="G5" s="16" t="s">
        <v>15</v>
      </c>
      <c r="H5" s="15" t="s">
        <v>71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="1" customFormat="1" ht="42" customHeight="1" spans="1:26">
      <c r="A6" s="17" t="s">
        <v>89</v>
      </c>
      <c r="B6" s="17" t="s">
        <v>85</v>
      </c>
      <c r="C6" s="17">
        <f t="shared" si="0"/>
        <v>127</v>
      </c>
      <c r="D6" s="17">
        <v>123</v>
      </c>
      <c r="E6" s="17">
        <v>250</v>
      </c>
      <c r="F6" s="18" t="s">
        <v>90</v>
      </c>
      <c r="G6" s="16" t="s">
        <v>15</v>
      </c>
      <c r="H6" s="15" t="s">
        <v>91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="1" customFormat="1" ht="42" customHeight="1" spans="1:26">
      <c r="A7" s="12" t="s">
        <v>92</v>
      </c>
      <c r="B7" s="12" t="s">
        <v>85</v>
      </c>
      <c r="C7" s="12">
        <f t="shared" si="0"/>
        <v>125</v>
      </c>
      <c r="D7" s="12">
        <v>123</v>
      </c>
      <c r="E7" s="12">
        <v>248</v>
      </c>
      <c r="F7" s="13" t="s">
        <v>23</v>
      </c>
      <c r="G7" s="16" t="s">
        <v>15</v>
      </c>
      <c r="H7" s="15" t="s">
        <v>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="1" customFormat="1" ht="42" customHeight="1" spans="1:26">
      <c r="A8" s="12" t="s">
        <v>93</v>
      </c>
      <c r="B8" s="12" t="s">
        <v>85</v>
      </c>
      <c r="C8" s="12">
        <f t="shared" si="0"/>
        <v>128</v>
      </c>
      <c r="D8" s="12">
        <v>115</v>
      </c>
      <c r="E8" s="12">
        <v>243</v>
      </c>
      <c r="F8" s="13" t="s">
        <v>94</v>
      </c>
      <c r="G8" s="16" t="s">
        <v>15</v>
      </c>
      <c r="H8" s="15" t="s">
        <v>95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="1" customFormat="1" ht="42" customHeight="1" spans="1:26">
      <c r="A9" s="12" t="s">
        <v>96</v>
      </c>
      <c r="B9" s="12" t="s">
        <v>85</v>
      </c>
      <c r="C9" s="12">
        <v>134</v>
      </c>
      <c r="D9" s="12">
        <v>108</v>
      </c>
      <c r="E9" s="12">
        <v>242</v>
      </c>
      <c r="F9" s="13" t="s">
        <v>46</v>
      </c>
      <c r="G9" s="16" t="s">
        <v>15</v>
      </c>
      <c r="H9" s="15" t="s">
        <v>16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="1" customFormat="1" ht="42" customHeight="1" spans="1:26">
      <c r="A10" s="12" t="s">
        <v>97</v>
      </c>
      <c r="B10" s="12" t="s">
        <v>85</v>
      </c>
      <c r="C10" s="12">
        <f t="shared" ref="C10:C32" si="1">E10-D10</f>
        <v>124</v>
      </c>
      <c r="D10" s="12">
        <v>117</v>
      </c>
      <c r="E10" s="12">
        <v>241</v>
      </c>
      <c r="F10" s="13" t="s">
        <v>46</v>
      </c>
      <c r="G10" s="14" t="s">
        <v>12</v>
      </c>
      <c r="H10" s="15" t="s">
        <v>98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="1" customFormat="1" ht="42" customHeight="1" spans="1:26">
      <c r="A11" s="17" t="s">
        <v>99</v>
      </c>
      <c r="B11" s="17" t="s">
        <v>85</v>
      </c>
      <c r="C11" s="17">
        <f t="shared" si="1"/>
        <v>128</v>
      </c>
      <c r="D11" s="17">
        <v>112</v>
      </c>
      <c r="E11" s="17">
        <v>240</v>
      </c>
      <c r="F11" s="18" t="s">
        <v>52</v>
      </c>
      <c r="G11" s="14" t="s">
        <v>12</v>
      </c>
      <c r="H11" s="15" t="s">
        <v>21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="1" customFormat="1" ht="42" customHeight="1" spans="1:26">
      <c r="A12" s="12" t="s">
        <v>100</v>
      </c>
      <c r="B12" s="12" t="s">
        <v>85</v>
      </c>
      <c r="C12" s="12">
        <f t="shared" si="1"/>
        <v>123</v>
      </c>
      <c r="D12" s="12">
        <v>116</v>
      </c>
      <c r="E12" s="12">
        <v>239</v>
      </c>
      <c r="F12" s="13" t="s">
        <v>46</v>
      </c>
      <c r="G12" s="16" t="s">
        <v>15</v>
      </c>
      <c r="H12" s="15" t="s">
        <v>78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="1" customFormat="1" ht="42" customHeight="1" spans="1:26">
      <c r="A13" s="12" t="s">
        <v>101</v>
      </c>
      <c r="B13" s="12" t="s">
        <v>85</v>
      </c>
      <c r="C13" s="12">
        <f t="shared" si="1"/>
        <v>115</v>
      </c>
      <c r="D13" s="12">
        <v>123</v>
      </c>
      <c r="E13" s="12">
        <v>238</v>
      </c>
      <c r="F13" s="13" t="s">
        <v>52</v>
      </c>
      <c r="G13" s="14" t="s">
        <v>12</v>
      </c>
      <c r="H13" s="15" t="s">
        <v>21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="1" customFormat="1" ht="42" customHeight="1" spans="1:26">
      <c r="A14" s="12" t="s">
        <v>102</v>
      </c>
      <c r="B14" s="12" t="s">
        <v>85</v>
      </c>
      <c r="C14" s="12">
        <f t="shared" si="1"/>
        <v>113</v>
      </c>
      <c r="D14" s="12">
        <v>125</v>
      </c>
      <c r="E14" s="12">
        <v>238</v>
      </c>
      <c r="F14" s="13" t="s">
        <v>46</v>
      </c>
      <c r="G14" s="16" t="s">
        <v>15</v>
      </c>
      <c r="H14" s="15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="1" customFormat="1" ht="42" customHeight="1" spans="1:26">
      <c r="A15" s="12" t="s">
        <v>103</v>
      </c>
      <c r="B15" s="12" t="s">
        <v>85</v>
      </c>
      <c r="C15" s="12">
        <f t="shared" si="1"/>
        <v>123</v>
      </c>
      <c r="D15" s="12">
        <v>115</v>
      </c>
      <c r="E15" s="12">
        <v>238</v>
      </c>
      <c r="F15" s="13" t="s">
        <v>20</v>
      </c>
      <c r="G15" s="14" t="s">
        <v>12</v>
      </c>
      <c r="H15" s="15" t="s">
        <v>21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="1" customFormat="1" ht="42" customHeight="1" spans="1:26">
      <c r="A16" s="12" t="s">
        <v>104</v>
      </c>
      <c r="B16" s="12" t="s">
        <v>85</v>
      </c>
      <c r="C16" s="12">
        <f t="shared" si="1"/>
        <v>114</v>
      </c>
      <c r="D16" s="12">
        <v>123</v>
      </c>
      <c r="E16" s="12">
        <v>237</v>
      </c>
      <c r="F16" s="13" t="s">
        <v>29</v>
      </c>
      <c r="G16" s="14" t="s">
        <v>12</v>
      </c>
      <c r="H16" s="15" t="s">
        <v>78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="1" customFormat="1" ht="42" customHeight="1" spans="1:26">
      <c r="A17" s="12" t="s">
        <v>105</v>
      </c>
      <c r="B17" s="12" t="s">
        <v>85</v>
      </c>
      <c r="C17" s="12">
        <f t="shared" si="1"/>
        <v>135</v>
      </c>
      <c r="D17" s="12">
        <v>102</v>
      </c>
      <c r="E17" s="12">
        <v>237</v>
      </c>
      <c r="F17" s="13" t="s">
        <v>46</v>
      </c>
      <c r="G17" s="14" t="s">
        <v>12</v>
      </c>
      <c r="H17" s="15" t="s">
        <v>87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="1" customFormat="1" ht="42" customHeight="1" spans="1:26">
      <c r="A18" s="12" t="s">
        <v>106</v>
      </c>
      <c r="B18" s="12" t="s">
        <v>85</v>
      </c>
      <c r="C18" s="12">
        <f t="shared" si="1"/>
        <v>135</v>
      </c>
      <c r="D18" s="12">
        <v>102</v>
      </c>
      <c r="E18" s="12">
        <v>237</v>
      </c>
      <c r="F18" s="13" t="s">
        <v>46</v>
      </c>
      <c r="G18" s="14" t="s">
        <v>12</v>
      </c>
      <c r="H18" s="15" t="s">
        <v>87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="1" customFormat="1" ht="42" customHeight="1" spans="1:26">
      <c r="A19" s="12" t="s">
        <v>107</v>
      </c>
      <c r="B19" s="12" t="s">
        <v>85</v>
      </c>
      <c r="C19" s="12">
        <f t="shared" si="1"/>
        <v>131</v>
      </c>
      <c r="D19" s="12">
        <v>106</v>
      </c>
      <c r="E19" s="12">
        <v>237</v>
      </c>
      <c r="F19" s="13" t="s">
        <v>46</v>
      </c>
      <c r="G19" s="16" t="s">
        <v>15</v>
      </c>
      <c r="H19" s="15" t="s">
        <v>16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="1" customFormat="1" ht="42" customHeight="1" spans="1:26">
      <c r="A20" s="12" t="s">
        <v>108</v>
      </c>
      <c r="B20" s="12" t="s">
        <v>85</v>
      </c>
      <c r="C20" s="12">
        <f t="shared" si="1"/>
        <v>124</v>
      </c>
      <c r="D20" s="12">
        <v>111</v>
      </c>
      <c r="E20" s="12">
        <v>235</v>
      </c>
      <c r="F20" s="13" t="s">
        <v>20</v>
      </c>
      <c r="G20" s="16" t="s">
        <v>15</v>
      </c>
      <c r="H20" s="15" t="s">
        <v>109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="1" customFormat="1" ht="42" customHeight="1" spans="1:26">
      <c r="A21" s="12" t="s">
        <v>110</v>
      </c>
      <c r="B21" s="12" t="s">
        <v>85</v>
      </c>
      <c r="C21" s="12">
        <f t="shared" si="1"/>
        <v>120</v>
      </c>
      <c r="D21" s="12">
        <v>115</v>
      </c>
      <c r="E21" s="12">
        <v>235</v>
      </c>
      <c r="F21" s="13" t="s">
        <v>20</v>
      </c>
      <c r="G21" s="14" t="s">
        <v>12</v>
      </c>
      <c r="H21" s="15" t="s">
        <v>78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="1" customFormat="1" ht="42" customHeight="1" spans="1:26">
      <c r="A22" s="12" t="s">
        <v>111</v>
      </c>
      <c r="B22" s="12" t="s">
        <v>85</v>
      </c>
      <c r="C22" s="12">
        <f t="shared" si="1"/>
        <v>115</v>
      </c>
      <c r="D22" s="12">
        <v>117</v>
      </c>
      <c r="E22" s="12">
        <v>232</v>
      </c>
      <c r="F22" s="13" t="s">
        <v>112</v>
      </c>
      <c r="G22" s="16" t="s">
        <v>15</v>
      </c>
      <c r="H22" s="15" t="s">
        <v>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="1" customFormat="1" ht="42" customHeight="1" spans="1:26">
      <c r="A23" s="12" t="s">
        <v>113</v>
      </c>
      <c r="B23" s="12" t="s">
        <v>85</v>
      </c>
      <c r="C23" s="12">
        <f t="shared" si="1"/>
        <v>111</v>
      </c>
      <c r="D23" s="12">
        <v>120</v>
      </c>
      <c r="E23" s="12">
        <v>231</v>
      </c>
      <c r="F23" s="13" t="s">
        <v>20</v>
      </c>
      <c r="G23" s="16" t="s">
        <v>15</v>
      </c>
      <c r="H23" s="15" t="s">
        <v>114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="1" customFormat="1" ht="42" customHeight="1" spans="1:26">
      <c r="A24" s="17" t="s">
        <v>115</v>
      </c>
      <c r="B24" s="17" t="s">
        <v>85</v>
      </c>
      <c r="C24" s="17">
        <f t="shared" si="1"/>
        <v>127</v>
      </c>
      <c r="D24" s="17">
        <v>103</v>
      </c>
      <c r="E24" s="17">
        <v>230</v>
      </c>
      <c r="F24" s="18" t="s">
        <v>29</v>
      </c>
      <c r="G24" s="14" t="s">
        <v>12</v>
      </c>
      <c r="H24" s="15" t="s">
        <v>41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="1" customFormat="1" ht="42" customHeight="1" spans="1:26">
      <c r="A25" s="12" t="s">
        <v>116</v>
      </c>
      <c r="B25" s="12" t="s">
        <v>117</v>
      </c>
      <c r="C25" s="12">
        <f t="shared" si="1"/>
        <v>117</v>
      </c>
      <c r="D25" s="12">
        <v>111</v>
      </c>
      <c r="E25" s="12">
        <v>228</v>
      </c>
      <c r="F25" s="13" t="s">
        <v>52</v>
      </c>
      <c r="G25" s="14" t="s">
        <v>12</v>
      </c>
      <c r="H25" s="15" t="s">
        <v>118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="1" customFormat="1" ht="42" customHeight="1" spans="1:26">
      <c r="A26" s="17" t="s">
        <v>119</v>
      </c>
      <c r="B26" s="17" t="s">
        <v>85</v>
      </c>
      <c r="C26" s="17">
        <f t="shared" si="1"/>
        <v>110</v>
      </c>
      <c r="D26" s="17">
        <v>116</v>
      </c>
      <c r="E26" s="17">
        <v>226</v>
      </c>
      <c r="F26" s="18" t="s">
        <v>32</v>
      </c>
      <c r="G26" s="16" t="s">
        <v>15</v>
      </c>
      <c r="H26" s="15" t="s">
        <v>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="1" customFormat="1" ht="42" customHeight="1" spans="1:26">
      <c r="A27" s="12" t="s">
        <v>120</v>
      </c>
      <c r="B27" s="12" t="s">
        <v>85</v>
      </c>
      <c r="C27" s="12">
        <f t="shared" si="1"/>
        <v>137</v>
      </c>
      <c r="D27" s="12">
        <v>89</v>
      </c>
      <c r="E27" s="12">
        <v>226</v>
      </c>
      <c r="F27" s="13" t="s">
        <v>32</v>
      </c>
      <c r="G27" s="14" t="s">
        <v>12</v>
      </c>
      <c r="H27" s="15" t="s">
        <v>55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="1" customFormat="1" ht="42" customHeight="1" spans="1:26">
      <c r="A28" s="12" t="s">
        <v>121</v>
      </c>
      <c r="B28" s="12" t="s">
        <v>85</v>
      </c>
      <c r="C28" s="12">
        <f t="shared" si="1"/>
        <v>117</v>
      </c>
      <c r="D28" s="12">
        <v>107</v>
      </c>
      <c r="E28" s="12">
        <v>224</v>
      </c>
      <c r="F28" s="13" t="s">
        <v>67</v>
      </c>
      <c r="G28" s="14" t="s">
        <v>12</v>
      </c>
      <c r="H28" s="15" t="s">
        <v>122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="1" customFormat="1" ht="42" customHeight="1" spans="1:26">
      <c r="A29" s="12" t="s">
        <v>123</v>
      </c>
      <c r="B29" s="12" t="s">
        <v>85</v>
      </c>
      <c r="C29" s="12">
        <f t="shared" si="1"/>
        <v>144</v>
      </c>
      <c r="D29" s="12">
        <v>76</v>
      </c>
      <c r="E29" s="12">
        <v>220</v>
      </c>
      <c r="F29" s="13" t="s">
        <v>32</v>
      </c>
      <c r="G29" s="16" t="s">
        <v>15</v>
      </c>
      <c r="H29" s="15" t="s">
        <v>44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="1" customFormat="1" ht="42" customHeight="1" spans="1:26">
      <c r="A30" s="19" t="s">
        <v>124</v>
      </c>
      <c r="B30" s="19" t="s">
        <v>85</v>
      </c>
      <c r="C30" s="19">
        <f t="shared" si="1"/>
        <v>114</v>
      </c>
      <c r="D30" s="19">
        <v>86</v>
      </c>
      <c r="E30" s="19">
        <v>200</v>
      </c>
      <c r="F30" s="20" t="s">
        <v>77</v>
      </c>
      <c r="G30" s="14" t="s">
        <v>12</v>
      </c>
      <c r="H30" s="15" t="s">
        <v>13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="1" customFormat="1" ht="42" customHeight="1" spans="1:26">
      <c r="A31" s="21" t="s">
        <v>125</v>
      </c>
      <c r="B31" s="21" t="s">
        <v>85</v>
      </c>
      <c r="C31" s="21">
        <f t="shared" si="1"/>
        <v>75</v>
      </c>
      <c r="D31" s="21">
        <v>123</v>
      </c>
      <c r="E31" s="21">
        <v>198</v>
      </c>
      <c r="F31" s="22" t="s">
        <v>126</v>
      </c>
      <c r="G31" s="14" t="s">
        <v>12</v>
      </c>
      <c r="H31" s="15" t="s">
        <v>24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="1" customFormat="1" ht="42" customHeight="1" spans="1:26">
      <c r="A32" s="23" t="s">
        <v>127</v>
      </c>
      <c r="B32" s="23" t="s">
        <v>85</v>
      </c>
      <c r="C32" s="23">
        <f t="shared" si="1"/>
        <v>82</v>
      </c>
      <c r="D32" s="23">
        <v>116</v>
      </c>
      <c r="E32" s="23">
        <v>198</v>
      </c>
      <c r="F32" s="24" t="s">
        <v>128</v>
      </c>
      <c r="G32" s="16" t="s">
        <v>15</v>
      </c>
      <c r="H32" s="15" t="s">
        <v>129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="1" customFormat="1" customHeight="1" spans="1:26">
      <c r="A33" s="3"/>
      <c r="B33" s="3"/>
      <c r="C33" s="3"/>
      <c r="D33" s="2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="2" customFormat="1" ht="61" customHeight="1" spans="1:26">
      <c r="B34" s="26" t="s">
        <v>80</v>
      </c>
      <c r="C34" s="27">
        <f>29/32</f>
        <v>0.90625</v>
      </c>
      <c r="D34" s="28" t="s">
        <v>81</v>
      </c>
      <c r="E34" s="29">
        <f>31/32</f>
        <v>0.96875</v>
      </c>
      <c r="F34" s="30" t="s">
        <v>82</v>
      </c>
      <c r="G34" s="31">
        <f>29/29</f>
        <v>1</v>
      </c>
    </row>
    <row r="35" s="1" customFormat="1" customHeight="1" spans="1:26">
      <c r="A35" s="3"/>
      <c r="B35" s="3"/>
      <c r="C35" s="3"/>
      <c r="D35" s="2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="1" customFormat="1" customHeight="1" spans="1:26">
      <c r="A36" s="3"/>
      <c r="B36" s="3"/>
      <c r="C36" s="3"/>
      <c r="D36" s="2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="1" customFormat="1" customHeight="1" spans="1:26">
      <c r="A37" s="3"/>
      <c r="B37" s="3"/>
      <c r="C37" s="3"/>
      <c r="D37" s="2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="1" customFormat="1" customHeight="1" spans="1:26">
      <c r="A38" s="3"/>
      <c r="B38" s="3"/>
      <c r="C38" s="3"/>
      <c r="D38" s="2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="1" customFormat="1" customHeight="1" spans="1:26">
      <c r="A39" s="3"/>
      <c r="B39" s="3"/>
      <c r="C39" s="3"/>
      <c r="D39" s="2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="1" customFormat="1" customHeight="1" spans="1:26">
      <c r="A40" s="3"/>
      <c r="B40" s="3"/>
      <c r="C40" s="3"/>
      <c r="D40" s="2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="1" customFormat="1" customHeight="1" spans="1:26">
      <c r="A41" s="3"/>
      <c r="B41" s="3"/>
      <c r="C41" s="3"/>
      <c r="D41" s="2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="1" customFormat="1" customHeight="1" spans="1:26">
      <c r="A42" s="3"/>
      <c r="B42" s="3"/>
      <c r="C42" s="3"/>
      <c r="D42" s="2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="1" customFormat="1" customHeight="1" spans="1:26">
      <c r="A43" s="3"/>
      <c r="B43" s="3"/>
      <c r="C43" s="3"/>
      <c r="D43" s="2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="1" customFormat="1" customHeight="1" spans="1:26">
      <c r="A44" s="3"/>
      <c r="B44" s="3"/>
      <c r="C44" s="3"/>
      <c r="D44" s="2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="1" customFormat="1" customHeight="1" spans="1:26">
      <c r="A45" s="3"/>
      <c r="B45" s="3"/>
      <c r="C45" s="3"/>
      <c r="D45" s="2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="1" customFormat="1" customHeight="1" spans="1:26">
      <c r="A46" s="3"/>
      <c r="B46" s="3"/>
      <c r="C46" s="3"/>
      <c r="D46" s="2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="1" customFormat="1" customHeight="1" spans="1:26">
      <c r="A47" s="3"/>
      <c r="B47" s="3"/>
      <c r="C47" s="3"/>
      <c r="D47" s="2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="1" customFormat="1" customHeight="1" spans="1:26">
      <c r="A48" s="3"/>
      <c r="B48" s="3"/>
      <c r="C48" s="3"/>
      <c r="D48" s="2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="1" customFormat="1" customHeight="1" spans="1:26">
      <c r="A49" s="3"/>
      <c r="B49" s="3"/>
      <c r="C49" s="3"/>
      <c r="D49" s="2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="1" customFormat="1" customHeight="1" spans="1:26">
      <c r="A50" s="3"/>
      <c r="B50" s="3"/>
      <c r="C50" s="3"/>
      <c r="D50" s="2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="1" customFormat="1" customHeight="1" spans="1:26">
      <c r="A51" s="3"/>
      <c r="B51" s="3"/>
      <c r="C51" s="3"/>
      <c r="D51" s="2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="1" customFormat="1" customHeight="1" spans="1:26">
      <c r="A52" s="3"/>
      <c r="B52" s="3"/>
      <c r="C52" s="3"/>
      <c r="D52" s="2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="1" customFormat="1" customHeight="1" spans="1:26">
      <c r="A53" s="3"/>
      <c r="B53" s="3"/>
      <c r="C53" s="3"/>
      <c r="D53" s="2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="1" customFormat="1" customHeight="1" spans="1:26">
      <c r="A54" s="3"/>
      <c r="B54" s="3"/>
      <c r="C54" s="3"/>
      <c r="D54" s="2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="1" customFormat="1" customHeight="1" spans="1:26">
      <c r="A55" s="3"/>
      <c r="B55" s="3"/>
      <c r="C55" s="3"/>
      <c r="D55" s="2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="1" customFormat="1" customHeight="1" spans="1:26">
      <c r="A56" s="3"/>
      <c r="B56" s="3"/>
      <c r="C56" s="3"/>
      <c r="D56" s="2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="1" customFormat="1" customHeight="1" spans="1:26">
      <c r="A57" s="3"/>
      <c r="B57" s="3"/>
      <c r="C57" s="3"/>
      <c r="D57" s="2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="1" customFormat="1" customHeight="1" spans="1:26">
      <c r="A58" s="3"/>
      <c r="B58" s="3"/>
      <c r="C58" s="3"/>
      <c r="D58" s="2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="1" customFormat="1" customHeight="1" spans="1:26">
      <c r="A59" s="3"/>
      <c r="B59" s="3"/>
      <c r="C59" s="3"/>
      <c r="D59" s="2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="1" customFormat="1" customHeight="1" spans="1:26">
      <c r="A60" s="3"/>
      <c r="B60" s="3"/>
      <c r="C60" s="3"/>
      <c r="D60" s="2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="1" customFormat="1" customHeight="1" spans="1:26">
      <c r="A61" s="3"/>
      <c r="B61" s="3"/>
      <c r="C61" s="3"/>
      <c r="D61" s="2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="1" customFormat="1" customHeight="1" spans="1:26">
      <c r="A62" s="3"/>
      <c r="B62" s="3"/>
      <c r="C62" s="3"/>
      <c r="D62" s="2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="1" customFormat="1" customHeight="1" spans="1:26">
      <c r="A63" s="3"/>
      <c r="B63" s="3"/>
      <c r="C63" s="3"/>
      <c r="D63" s="2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="1" customFormat="1" customHeight="1" spans="1:26">
      <c r="A64" s="3"/>
      <c r="B64" s="3"/>
      <c r="C64" s="3"/>
      <c r="D64" s="2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="1" customFormat="1" customHeight="1" spans="1:26">
      <c r="A65" s="3"/>
      <c r="B65" s="3"/>
      <c r="C65" s="3"/>
      <c r="D65" s="2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</sheetData>
  <mergeCells count="2">
    <mergeCell ref="A1:H1"/>
    <mergeCell ref="A2:H2"/>
  </mergeCells>
  <conditionalFormatting sqref="B3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你是我家的薯片</cp:lastModifiedBy>
  <dcterms:created xsi:type="dcterms:W3CDTF">2026-06-02T10:00:06Z</dcterms:created>
  <dcterms:modified xsi:type="dcterms:W3CDTF">2026-06-02T10:02:28Z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D420BD6FA70647CBBEDA05E7B8AA6F01_11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